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766E"/>
      </patternFill>
    </fill>
    <fill>
      <patternFill patternType="solid">
        <fgColor rgb="007C2D12"/>
      </patternFill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/>
    </xf>
    <xf numFmtId="3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</cols>
  <sheetData>
    <row r="1">
      <c r="A1" s="1" t="inlineStr">
        <is>
          <t>Visa Revenue 2025</t>
        </is>
      </c>
      <c r="B1" s="1" t="inlineStr">
        <is>
          <t>Visa Net Income 2025</t>
        </is>
      </c>
      <c r="C1" s="1" t="inlineStr">
        <is>
          <t>Visa Total Debt 2025</t>
        </is>
      </c>
      <c r="D1" s="1" t="inlineStr">
        <is>
          <t>Visa Assets 2024</t>
        </is>
      </c>
      <c r="E1" s="1" t="inlineStr">
        <is>
          <t>Visa Assets 2025</t>
        </is>
      </c>
      <c r="F1" s="1" t="inlineStr">
        <is>
          <t>Visa Current Assets 2025</t>
        </is>
      </c>
      <c r="G1" s="1" t="inlineStr">
        <is>
          <t>Visa Current Liabilities 2025</t>
        </is>
      </c>
      <c r="H1" s="1" t="inlineStr">
        <is>
          <t>Visa Equity 2024</t>
        </is>
      </c>
      <c r="I1" s="1" t="inlineStr">
        <is>
          <t>Visa Equity 2025</t>
        </is>
      </c>
      <c r="J1" s="1" t="inlineStr">
        <is>
          <t>Visa AR 2024</t>
        </is>
      </c>
      <c r="K1" s="1" t="inlineStr">
        <is>
          <t>Visa AR 2025</t>
        </is>
      </c>
      <c r="L1" s="1" t="inlineStr">
        <is>
          <t>Visa Dividends 2025</t>
        </is>
      </c>
      <c r="M1" s="1" t="inlineStr">
        <is>
          <t>Visa EPS 2025</t>
        </is>
      </c>
      <c r="N1" s="1" t="inlineStr">
        <is>
          <t>Visa Market Price (2026-04-24)</t>
        </is>
      </c>
      <c r="O1" s="1" t="inlineStr">
        <is>
          <t>Visa Shares Outstanding 2025</t>
        </is>
      </c>
      <c r="P1" s="1" t="inlineStr">
        <is>
          <t>Visa LT Debt 2025</t>
        </is>
      </c>
      <c r="Q1" s="1" t="inlineStr">
        <is>
          <t>Visa Cash 2025</t>
        </is>
      </c>
      <c r="R1" s="1" t="inlineStr">
        <is>
          <t>Visa Operating Income 2025</t>
        </is>
      </c>
      <c r="S1" s="1" t="inlineStr">
        <is>
          <t>Visa Interest Expense 2025</t>
        </is>
      </c>
      <c r="T1" s="1" t="inlineStr">
        <is>
          <t>Visa PPE 2024</t>
        </is>
      </c>
      <c r="U1" s="1" t="inlineStr">
        <is>
          <t>Visa PPE 2025</t>
        </is>
      </c>
      <c r="V1" s="1" t="inlineStr">
        <is>
          <t>Visa Goodwill 2025</t>
        </is>
      </c>
      <c r="W1" s="1" t="inlineStr">
        <is>
          <t>Visa Intangibles 2025</t>
        </is>
      </c>
      <c r="X1" s="1" t="inlineStr">
        <is>
          <t>Mastercard Revenue 2025</t>
        </is>
      </c>
      <c r="Y1" s="1" t="inlineStr">
        <is>
          <t>Mastercard Net Income 2025</t>
        </is>
      </c>
      <c r="Z1" s="1" t="inlineStr">
        <is>
          <t>Mastercard Total Debt 2025</t>
        </is>
      </c>
      <c r="AA1" s="1" t="inlineStr">
        <is>
          <t>Mastercard Assets 2024</t>
        </is>
      </c>
      <c r="AB1" s="1" t="inlineStr">
        <is>
          <t>Mastercard Assets 2025</t>
        </is>
      </c>
      <c r="AC1" s="1" t="inlineStr">
        <is>
          <t>Mastercard Current Assets 2025</t>
        </is>
      </c>
      <c r="AD1" s="1" t="inlineStr">
        <is>
          <t>Mastercard Current Liabilities 2025</t>
        </is>
      </c>
      <c r="AE1" s="1" t="inlineStr">
        <is>
          <t>Mastercard Equity 2024</t>
        </is>
      </c>
      <c r="AF1" s="1" t="inlineStr">
        <is>
          <t>Mastercard Equity 2025</t>
        </is>
      </c>
      <c r="AG1" s="1" t="inlineStr">
        <is>
          <t>Mastercard AR 2024</t>
        </is>
      </c>
      <c r="AH1" s="1" t="inlineStr">
        <is>
          <t>Mastercard AR 2025</t>
        </is>
      </c>
      <c r="AI1" s="1" t="inlineStr">
        <is>
          <t>Mastercard Dividends 2025</t>
        </is>
      </c>
      <c r="AJ1" s="1" t="inlineStr">
        <is>
          <t>Mastercard EPS 2025</t>
        </is>
      </c>
      <c r="AK1" s="1" t="inlineStr">
        <is>
          <t>Mastercard Market Price (2026-04-24)</t>
        </is>
      </c>
      <c r="AL1" s="1" t="inlineStr">
        <is>
          <t>Mastercard Shares Outstanding 2025</t>
        </is>
      </c>
      <c r="AM1" s="1" t="inlineStr">
        <is>
          <t>Mastercard LT Debt 2025</t>
        </is>
      </c>
      <c r="AN1" s="1" t="inlineStr">
        <is>
          <t>Mastercard Cash 2025</t>
        </is>
      </c>
      <c r="AO1" s="1" t="inlineStr">
        <is>
          <t>Mastercard Operating Income 2025</t>
        </is>
      </c>
      <c r="AP1" s="1" t="inlineStr">
        <is>
          <t>Mastercard Interest Expense 2025</t>
        </is>
      </c>
      <c r="AQ1" s="1" t="inlineStr">
        <is>
          <t>Mastercard PPE 2024</t>
        </is>
      </c>
      <c r="AR1" s="1" t="inlineStr">
        <is>
          <t>Mastercard PPE 2025</t>
        </is>
      </c>
      <c r="AS1" s="1" t="inlineStr">
        <is>
          <t>Mastercard Goodwill 2025</t>
        </is>
      </c>
      <c r="AT1" s="1" t="inlineStr">
        <is>
          <t>Mastercard Intangibles 2025</t>
        </is>
      </c>
    </row>
    <row r="2">
      <c r="A2" t="n">
        <v>40000000000</v>
      </c>
      <c r="B2" t="n">
        <v>20058000000</v>
      </c>
      <c r="C2" t="n">
        <v>25171000000</v>
      </c>
      <c r="D2" t="n">
        <v>94511000000</v>
      </c>
      <c r="E2" t="n">
        <v>99627000000</v>
      </c>
      <c r="F2" t="n">
        <v>37766000000</v>
      </c>
      <c r="G2" t="n">
        <v>35048000000</v>
      </c>
      <c r="H2" t="n">
        <v>39137000000</v>
      </c>
      <c r="I2" t="n">
        <v>37909000000</v>
      </c>
      <c r="J2" t="n">
        <v>2561000000</v>
      </c>
      <c r="K2" t="n">
        <v>3126000000</v>
      </c>
      <c r="L2" t="n">
        <v>4634000000</v>
      </c>
      <c r="M2" t="n">
        <v>10.2</v>
      </c>
      <c r="N2" t="n">
        <v>308.88</v>
      </c>
      <c r="O2" t="n">
        <v>1687629770</v>
      </c>
      <c r="P2" t="n">
        <v>19602000000</v>
      </c>
      <c r="Q2" t="n">
        <v>17164000000</v>
      </c>
      <c r="R2" t="n">
        <v>23994000000</v>
      </c>
      <c r="S2" t="n">
        <v>589000000</v>
      </c>
      <c r="T2" t="n">
        <v>3824000000</v>
      </c>
      <c r="U2" t="n">
        <v>4236000000</v>
      </c>
      <c r="V2" t="n">
        <v>19879000000</v>
      </c>
      <c r="W2" t="n">
        <v>27646000000</v>
      </c>
      <c r="X2" t="n">
        <v>32791000000</v>
      </c>
      <c r="Y2" t="n">
        <v>14968000000</v>
      </c>
      <c r="Z2" t="n">
        <v>19000000000</v>
      </c>
      <c r="AA2" t="n">
        <v>48081000000</v>
      </c>
      <c r="AB2" t="n">
        <v>54157000000</v>
      </c>
      <c r="AC2" t="n">
        <v>23558000000</v>
      </c>
      <c r="AD2" t="n">
        <v>22762000000</v>
      </c>
      <c r="AE2" t="n">
        <v>6485000000</v>
      </c>
      <c r="AF2" t="n">
        <v>7737000000</v>
      </c>
      <c r="AG2" t="n">
        <v>3773000000</v>
      </c>
      <c r="AH2" t="n">
        <v>4609000000</v>
      </c>
      <c r="AI2" t="n">
        <v>2756000000</v>
      </c>
      <c r="AJ2" t="n">
        <v>16.52</v>
      </c>
      <c r="AK2" t="n">
        <v>502.38</v>
      </c>
      <c r="AL2" t="n">
        <v>885216386</v>
      </c>
      <c r="AM2" t="n">
        <v>18251000000</v>
      </c>
      <c r="AN2" t="n">
        <v>10566000000</v>
      </c>
      <c r="AO2" t="n">
        <v>18897000000</v>
      </c>
      <c r="AP2" t="n">
        <v>722000000</v>
      </c>
      <c r="AQ2" t="n">
        <v>2138000000</v>
      </c>
      <c r="AR2" t="n">
        <v>2303000000</v>
      </c>
      <c r="AS2" t="n">
        <v>9560000000</v>
      </c>
      <c r="AT2" t="n">
        <v>5382000000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70" customWidth="1" min="4" max="4"/>
  </cols>
  <sheetData>
    <row r="1">
      <c r="A1" s="2" t="inlineStr">
        <is>
          <t>Ratio</t>
        </is>
      </c>
      <c r="B1" s="2" t="inlineStr">
        <is>
          <t>Visa</t>
        </is>
      </c>
      <c r="C1" s="2" t="inlineStr">
        <is>
          <t>Mastercard</t>
        </is>
      </c>
      <c r="D1" s="2" t="inlineStr">
        <is>
          <t>Comment</t>
        </is>
      </c>
    </row>
    <row r="2">
      <c r="A2" t="inlineStr">
        <is>
          <t>Net PP&amp;E</t>
        </is>
      </c>
      <c r="B2" s="3">
        <f>RawData!U2</f>
        <v/>
      </c>
      <c r="C2" s="3">
        <f>RawData!AR2</f>
        <v/>
      </c>
      <c r="D2" t="inlineStr">
        <is>
          <t>Mastercard runs with a smaller fixed-asset base than Visa, consistent with a lighter operating footprint.</t>
        </is>
      </c>
    </row>
    <row r="3">
      <c r="A3" t="inlineStr">
        <is>
          <t>Goodwill and Intangibles</t>
        </is>
      </c>
      <c r="B3" s="3">
        <f>RawData!V2+RawData!W2</f>
        <v/>
      </c>
      <c r="C3" s="3">
        <f>RawData!AS2+RawData!AT2</f>
        <v/>
      </c>
      <c r="D3" t="inlineStr">
        <is>
          <t>Visa carries a much larger intangible base, which matters when interpreting asset structure and turnover.</t>
        </is>
      </c>
    </row>
    <row r="4">
      <c r="A4" t="inlineStr">
        <is>
          <t>Total Long-term Debt</t>
        </is>
      </c>
      <c r="B4" s="3">
        <f>RawData!P2</f>
        <v/>
      </c>
      <c r="C4" s="3">
        <f>RawData!AM2</f>
        <v/>
      </c>
      <c r="D4" t="inlineStr">
        <is>
          <t>Visa has a higher absolute amount of long-term debt, but Mastercard is more leveraged relative to equity.</t>
        </is>
      </c>
    </row>
    <row r="5">
      <c r="A5" t="inlineStr">
        <is>
          <t>Total Debt / Total Assets</t>
        </is>
      </c>
      <c r="B5" s="4">
        <f>RawData!C2/RawData!E2</f>
        <v/>
      </c>
      <c r="C5" s="4">
        <f>RawData!Z2/RawData!AB2</f>
        <v/>
      </c>
      <c r="D5" t="inlineStr">
        <is>
          <t>Lower is less risky. Mastercard carries more debt relative to assets.</t>
        </is>
      </c>
    </row>
    <row r="6">
      <c r="A6" t="inlineStr">
        <is>
          <t>Long-term Debt / Equity</t>
        </is>
      </c>
      <c r="B6" s="4">
        <f>RawData!P2/RawData!I2</f>
        <v/>
      </c>
      <c r="C6" s="4">
        <f>RawData!AM2/RawData!AF2</f>
        <v/>
      </c>
      <c r="D6" t="inlineStr">
        <is>
          <t>Mastercard looks far more leveraged because its equity base is small after buybacks.</t>
        </is>
      </c>
    </row>
    <row r="7">
      <c r="A7" t="inlineStr">
        <is>
          <t>Current Ratio</t>
        </is>
      </c>
      <c r="B7" s="5">
        <f>RawData!F2/RawData!G2</f>
        <v/>
      </c>
      <c r="C7" s="5">
        <f>RawData!AC2/RawData!AD2</f>
        <v/>
      </c>
      <c r="D7" t="inlineStr">
        <is>
          <t>Both are just above 1.0, with Visa slightly safer on this measure.</t>
        </is>
      </c>
    </row>
    <row r="8">
      <c r="A8" t="inlineStr">
        <is>
          <t>Quick Ratio</t>
        </is>
      </c>
      <c r="B8" s="5">
        <f>(RawData!Q2+RawData!K2)/RawData!G2</f>
        <v/>
      </c>
      <c r="C8" s="5">
        <f>(RawData!AN2+RawData!AH2)/RawData!AD2</f>
        <v/>
      </c>
      <c r="D8" t="inlineStr">
        <is>
          <t>Both are below 1.0; Mastercard is stronger on immediate liquidity.</t>
        </is>
      </c>
    </row>
    <row r="9">
      <c r="A9" t="inlineStr">
        <is>
          <t>Interest Coverage</t>
        </is>
      </c>
      <c r="B9" s="5">
        <f>RawData!R2/RawData!S2</f>
        <v/>
      </c>
      <c r="C9" s="5">
        <f>RawData!AO2/RawData!AP2</f>
        <v/>
      </c>
      <c r="D9" t="inlineStr">
        <is>
          <t>Both firms comfortably cover interest expense, but Visa has the stronger safety margin.</t>
        </is>
      </c>
    </row>
    <row r="10">
      <c r="A10" t="inlineStr">
        <is>
          <t>Net Profit Margin</t>
        </is>
      </c>
      <c r="B10" s="4">
        <f>RawData!B2/RawData!A2</f>
        <v/>
      </c>
      <c r="C10" s="4">
        <f>RawData!Y2/RawData!X2</f>
        <v/>
      </c>
      <c r="D10" t="inlineStr">
        <is>
          <t>Visa converts a larger share of revenue into profit.</t>
        </is>
      </c>
    </row>
    <row r="11">
      <c r="A11" t="inlineStr">
        <is>
          <t>ROE</t>
        </is>
      </c>
      <c r="B11" s="4">
        <f>RawData!B2/AVERAGE(RawData!H2,RawData!I2)</f>
        <v/>
      </c>
      <c r="C11" s="4">
        <f>RawData!Y2/AVERAGE(RawData!AE2,RawData!AF2)</f>
        <v/>
      </c>
      <c r="D11" t="inlineStr">
        <is>
          <t>Mastercard's ROE is boosted by a very small equity base, so read with caution.</t>
        </is>
      </c>
    </row>
    <row r="12">
      <c r="A12" t="inlineStr">
        <is>
          <t>ROA</t>
        </is>
      </c>
      <c r="B12" s="4">
        <f>RawData!B2/AVERAGE(RawData!D2,RawData!E2)</f>
        <v/>
      </c>
      <c r="C12" s="4">
        <f>RawData!Y2/AVERAGE(RawData!AA2,RawData!AB2)</f>
        <v/>
      </c>
      <c r="D12" t="inlineStr">
        <is>
          <t>Mastercard generates more profit per dollar of assets.</t>
        </is>
      </c>
    </row>
    <row r="13">
      <c r="A13" t="inlineStr">
        <is>
          <t>Asset Turnover</t>
        </is>
      </c>
      <c r="B13" s="5">
        <f>RawData!A2/AVERAGE(RawData!D2,RawData!E2)</f>
        <v/>
      </c>
      <c r="C13" s="5">
        <f>RawData!X2/AVERAGE(RawData!AA2,RawData!AB2)</f>
        <v/>
      </c>
      <c r="D13" t="inlineStr">
        <is>
          <t>Mastercard uses its asset base more efficiently to produce revenue.</t>
        </is>
      </c>
    </row>
    <row r="14">
      <c r="A14" t="inlineStr">
        <is>
          <t>Receivables Turnover</t>
        </is>
      </c>
      <c r="B14" s="5">
        <f>RawData!A2/AVERAGE(RawData!J2,RawData!K2)</f>
        <v/>
      </c>
      <c r="C14" s="5">
        <f>RawData!X2/AVERAGE(RawData!AG2,RawData!AH2)</f>
        <v/>
      </c>
      <c r="D14" t="inlineStr">
        <is>
          <t>Visa collects or turns receivables faster.</t>
        </is>
      </c>
    </row>
    <row r="15">
      <c r="A15" t="inlineStr">
        <is>
          <t>Inventory Turnover</t>
        </is>
      </c>
      <c r="B15" t="inlineStr">
        <is>
          <t>n/a</t>
        </is>
      </c>
      <c r="C15" t="inlineStr">
        <is>
          <t>n/a</t>
        </is>
      </c>
      <c r="D15" t="inlineStr">
        <is>
          <t>n/a for both: payment networks are service businesses with no meaningful inventory.</t>
        </is>
      </c>
    </row>
    <row r="16">
      <c r="A16" t="inlineStr">
        <is>
          <t>Fixed Assets Turnover</t>
        </is>
      </c>
      <c r="B16" s="5">
        <f>RawData!A2/AVERAGE(RawData!T2,RawData!U2)</f>
        <v/>
      </c>
      <c r="C16" s="5">
        <f>RawData!X2/AVERAGE(RawData!AQ2,RawData!AR2)</f>
        <v/>
      </c>
      <c r="D16" t="inlineStr">
        <is>
          <t>Mastercard generates more revenue per dollar of fixed assets.</t>
        </is>
      </c>
    </row>
    <row r="17">
      <c r="A17" t="inlineStr">
        <is>
          <t>P/E</t>
        </is>
      </c>
      <c r="B17" s="5">
        <f>RawData!N2/RawData!M2</f>
        <v/>
      </c>
      <c r="C17" s="5">
        <f>RawData!AK2/RawData!AJ2</f>
        <v/>
      </c>
      <c r="D17" t="inlineStr">
        <is>
          <t>Very similar valuation multiples based on current market prices and FY2025 EPS.</t>
        </is>
      </c>
    </row>
    <row r="18">
      <c r="A18" t="inlineStr">
        <is>
          <t>Price to Book</t>
        </is>
      </c>
      <c r="B18" s="5">
        <f>RawData!N2/(RawData!I2/RawData!O2)</f>
        <v/>
      </c>
      <c r="C18" s="5">
        <f>RawData!AK2/(RawData!AF2/RawData!AL2)</f>
        <v/>
      </c>
      <c r="D18" t="inlineStr">
        <is>
          <t>Mastercard's price-to-book is inflated by its low accounting equity after repurchases.</t>
        </is>
      </c>
    </row>
    <row r="19">
      <c r="A19" t="inlineStr">
        <is>
          <t>Dividend Payout</t>
        </is>
      </c>
      <c r="B19" s="4">
        <f>RawData!L2/RawData!B2</f>
        <v/>
      </c>
      <c r="C19" s="4">
        <f>RawData!AI2/RawData!Y2</f>
        <v/>
      </c>
      <c r="D19" t="inlineStr">
        <is>
          <t>Visa returns a higher share of profits as dividends.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6" t="inlineStr">
        <is>
          <t>Topic</t>
        </is>
      </c>
      <c r="B1" s="6" t="inlineStr">
        <is>
          <t>Takeaway</t>
        </is>
      </c>
    </row>
    <row r="2">
      <c r="A2" t="inlineStr">
        <is>
          <t>Main conclusion</t>
        </is>
      </c>
      <c r="B2" t="inlineStr">
        <is>
          <t>Visa looks stronger on financial quality; Mastercard looks stronger on efficiency.</t>
        </is>
      </c>
    </row>
    <row r="3">
      <c r="A3" t="inlineStr">
        <is>
          <t>Why Visa stands out</t>
        </is>
      </c>
      <c r="B3" t="inlineStr">
        <is>
          <t>Higher net margin, stronger interest coverage, and much lower leverage relative to equity.</t>
        </is>
      </c>
    </row>
    <row r="4">
      <c r="A4" t="inlineStr">
        <is>
          <t>Why Mastercard stands out</t>
        </is>
      </c>
      <c r="B4" t="inlineStr">
        <is>
          <t>Higher ROA, higher asset turnover, and higher fixed-asset turnover.</t>
        </is>
      </c>
    </row>
    <row r="5">
      <c r="A5" t="inlineStr">
        <is>
          <t>Critical caution</t>
        </is>
      </c>
      <c r="B5" t="inlineStr">
        <is>
          <t>Mastercard's ROE and price-to-book are heavily distorted by low accounting equity after large buybacks.</t>
        </is>
      </c>
    </row>
    <row r="6">
      <c r="A6" t="inlineStr">
        <is>
          <t>Asset structure</t>
        </is>
      </c>
      <c r="B6" t="inlineStr">
        <is>
          <t>Visa has a much larger goodwill and intangibles base, which affects asset composition and turnover interpretation.</t>
        </is>
      </c>
    </row>
    <row r="7">
      <c r="A7" t="inlineStr">
        <is>
          <t>Inventory ratio</t>
        </is>
      </c>
      <c r="B7" t="inlineStr">
        <is>
          <t>Inventory turnover is not meaningful here because both firms are service-based payment networks and do not report a meaningful inventory base.</t>
        </is>
      </c>
    </row>
    <row r="8">
      <c r="A8" t="inlineStr">
        <is>
          <t>Market data note</t>
        </is>
      </c>
      <c r="B8" t="inlineStr">
        <is>
          <t>Market prices used for P/E and Price-to-Book were checked on official investor quote pages on 2026-04-24.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7" t="inlineStr">
        <is>
          <t>Type</t>
        </is>
      </c>
      <c r="B1" s="7" t="inlineStr">
        <is>
          <t>Source</t>
        </is>
      </c>
    </row>
    <row r="2">
      <c r="A2" t="inlineStr">
        <is>
          <t>Visa 10-K 2025</t>
        </is>
      </c>
      <c r="B2" t="inlineStr">
        <is>
          <t>https://www.sec.gov/Archives/edgar/data/1403161/000140316125000089/v-20250930.htm</t>
        </is>
      </c>
    </row>
    <row r="3">
      <c r="A3" t="inlineStr">
        <is>
          <t>Mastercard 10-K 2025</t>
        </is>
      </c>
      <c r="B3" t="inlineStr">
        <is>
          <t>https://www.sec.gov/Archives/edgar/data/1141391/000114139126000013/ma-20251231.htm</t>
        </is>
      </c>
    </row>
    <row r="4">
      <c r="A4" t="inlineStr">
        <is>
          <t>Visa IR annual report</t>
        </is>
      </c>
      <c r="B4" t="inlineStr">
        <is>
          <t>https://annualreport.visa.com/annual-meeting/default.aspx</t>
        </is>
      </c>
    </row>
    <row r="5">
      <c r="A5" t="inlineStr">
        <is>
          <t>Mastercard IR SEC filings</t>
        </is>
      </c>
      <c r="B5" t="inlineStr">
        <is>
          <t>https://investor.mastercard.com/financials-and-sec-filings/sec-filings/sec-filings-details/default.aspx?FilingId=19135441</t>
        </is>
      </c>
    </row>
    <row r="6">
      <c r="A6" t="inlineStr">
        <is>
          <t>Visa market quote reference page</t>
        </is>
      </c>
      <c r="B6" t="inlineStr">
        <is>
          <t>https://investor.visa.com/stock-information/quote-chart/</t>
        </is>
      </c>
    </row>
    <row r="7">
      <c r="A7" t="inlineStr">
        <is>
          <t>Mastercard market quote reference page</t>
        </is>
      </c>
      <c r="B7" t="inlineStr">
        <is>
          <t>https://investor.mastercard.com/stock-information/stock-data-and-chart/default.aspx</t>
        </is>
      </c>
    </row>
    <row r="8">
      <c r="A8" t="inlineStr">
        <is>
          <t>Market quote note</t>
        </is>
      </c>
      <c r="B8" t="inlineStr">
        <is>
          <t>P/E and Price to Book use market prices checked on 2026-04-24 against official investor quote pages.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2026-04-24T10:52:13Z</dcterms:created>
  <dcterms:modified xmlns:dcterms="http://purl.org/dc/terms/" xmlns:xsi="http://www.w3.org/2001/XMLSchema-instance" xsi:type="dcterms:W3CDTF">2026-04-24T10:52:13Z</dcterms:modified>
</cp:coreProperties>
</file>